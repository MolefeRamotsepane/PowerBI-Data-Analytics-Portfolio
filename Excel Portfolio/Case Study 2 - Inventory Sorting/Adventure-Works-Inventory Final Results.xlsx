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8_{FCD23900-FA46-4D64-A3F4-EF997C88EBA9}" xr6:coauthVersionLast="47" xr6:coauthVersionMax="47" xr10:uidLastSave="{00000000-0000-0000-0000-000000000000}"/>
  <bookViews>
    <workbookView xWindow="-108" yWindow="-108" windowWidth="23256" windowHeight="12576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2" l="1"/>
  <c r="B140" i="2"/>
  <c r="B111" i="2"/>
  <c r="B110" i="2"/>
  <c r="B147" i="2"/>
  <c r="B146" i="2"/>
  <c r="B129" i="2"/>
  <c r="B128" i="2"/>
  <c r="B149" i="2"/>
  <c r="B148" i="2"/>
  <c r="B137" i="2"/>
  <c r="B136" i="2"/>
  <c r="B113" i="2"/>
  <c r="B112" i="2"/>
  <c r="B125" i="2"/>
  <c r="B124" i="2"/>
  <c r="B107" i="2"/>
  <c r="B106" i="2"/>
  <c r="B135" i="2"/>
  <c r="B134" i="2"/>
  <c r="B121" i="2"/>
  <c r="B120" i="2"/>
  <c r="B119" i="2"/>
  <c r="B118" i="2"/>
  <c r="B131" i="2"/>
  <c r="B130" i="2"/>
  <c r="B139" i="2"/>
  <c r="B138" i="2"/>
  <c r="B115" i="2"/>
  <c r="B114" i="2"/>
  <c r="B143" i="2"/>
  <c r="B142" i="2"/>
  <c r="B105" i="2"/>
  <c r="B104" i="2"/>
  <c r="B117" i="2"/>
  <c r="B116" i="2"/>
  <c r="B109" i="2"/>
  <c r="B108" i="2"/>
  <c r="B151" i="2"/>
  <c r="B150" i="2"/>
  <c r="B127" i="2"/>
  <c r="B126" i="2"/>
  <c r="B123" i="2"/>
  <c r="B122" i="2"/>
  <c r="B133" i="2"/>
  <c r="B132" i="2"/>
  <c r="B145" i="2"/>
  <c r="B14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<sst xmlns="http://schemas.openxmlformats.org/spreadsheetml/2006/main" count="1218" uniqueCount="42">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</sst>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€&quot;* #,##0.00_-;\-&quot;€&quot;* #,##0.00_-;_-&quot;€&quot;* &quot;-&quot;??_-;_-@_-"/>
    <numFmt numFmtId="165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165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2" fillId="2" borderId="1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idge/Documents/Work/Sureskills/Application%20Files/Office%202010/Excel/Copy%20of%20All%20Exercises/Formula%20Intermediate.xlsx" TargetMode="External"/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4" x14ac:dyDescent="0.3"/>
  <cols>
    <col min="1" max="1" width="24" bestFit="1" customWidth="1"/>
    <col min="2" max="2" width="12.88671875" style="8" bestFit="1" customWidth="1"/>
    <col min="3" max="3" width="31.33203125" customWidth="1"/>
    <col min="4" max="4" width="38.44140625" customWidth="1"/>
    <col min="5" max="5" width="10.5546875" customWidth="1"/>
    <col min="6" max="6" width="14" customWidth="1"/>
    <col min="7" max="7" width="15.109375" customWidth="1"/>
    <col min="8" max="8" width="14.6640625" customWidth="1"/>
    <col min="9" max="9" width="13.44140625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">
      <c r="A4" s="3" t="s">
        <v>9</v>
      </c>
      <c r="B4" s="7">
        <f ca="1">TODAY()+17</f>
        <v>46109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">
      <c r="A5" s="3" t="s">
        <v>9</v>
      </c>
      <c r="B5" s="7">
        <f ca="1">TODAY()+17</f>
        <v>46109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">
      <c r="A6" s="3" t="s">
        <v>17</v>
      </c>
      <c r="B6" s="7">
        <f ca="1">TODAY()+2</f>
        <v>46094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">
      <c r="A7" s="3" t="s">
        <v>17</v>
      </c>
      <c r="B7" s="7">
        <f ca="1">TODAY()+2</f>
        <v>46094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">
      <c r="A10" s="3" t="s">
        <v>9</v>
      </c>
      <c r="B10" s="7">
        <f ca="1">TODAY()-8</f>
        <v>46084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">
      <c r="A11" s="3" t="s">
        <v>9</v>
      </c>
      <c r="B11" s="7">
        <f ca="1">TODAY()-8</f>
        <v>46084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26</v>
      </c>
      <c r="B14" s="7">
        <f ca="1">TODAY()-3</f>
        <v>46089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">
      <c r="A15" s="3" t="s">
        <v>26</v>
      </c>
      <c r="B15" s="7">
        <f ca="1">TODAY()-3</f>
        <v>46089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">
      <c r="A24" s="3" t="s">
        <v>31</v>
      </c>
      <c r="B24" s="7">
        <f ca="1">TODAY()+40</f>
        <v>46132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">
      <c r="A25" s="3" t="s">
        <v>31</v>
      </c>
      <c r="B25" s="7">
        <f ca="1">TODAY()+40</f>
        <v>46132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">
      <c r="A28" s="3" t="s">
        <v>26</v>
      </c>
      <c r="B28" s="7">
        <f ca="1">TODAY()-45</f>
        <v>46047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26</v>
      </c>
      <c r="B29" s="7">
        <f ca="1">TODAY()-45</f>
        <v>46047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">
      <c r="A56" s="3" t="s">
        <v>17</v>
      </c>
      <c r="B56" s="7">
        <f ca="1">TODAY()-10</f>
        <v>46082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">
      <c r="A57" s="3" t="s">
        <v>17</v>
      </c>
      <c r="B57" s="7">
        <f ca="1">TODAY()-10</f>
        <v>46082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">
      <c r="A58" s="3" t="s">
        <v>17</v>
      </c>
      <c r="B58" s="7">
        <f ca="1">TODAY()-59</f>
        <v>46033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17</v>
      </c>
      <c r="B59" s="7">
        <f ca="1">TODAY()-59</f>
        <v>46033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">
      <c r="A66" s="3" t="s">
        <v>31</v>
      </c>
      <c r="B66" s="7">
        <f ca="1">TODAY()+14</f>
        <v>46106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31</v>
      </c>
      <c r="B67" s="7">
        <f ca="1">TODAY()+14</f>
        <v>46106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f ca="1">TODAY()-32</f>
        <v>46060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">
      <c r="A71" s="3" t="s">
        <v>9</v>
      </c>
      <c r="B71" s="7">
        <f ca="1">TODAY()-32</f>
        <v>46060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">
      <c r="A78" s="3" t="s">
        <v>17</v>
      </c>
      <c r="B78" s="7">
        <f ca="1">TODAY()+7</f>
        <v>46099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">
      <c r="A79" s="3" t="s">
        <v>17</v>
      </c>
      <c r="B79" s="7">
        <f ca="1">TODAY()+7</f>
        <v>46099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">
      <c r="A80" s="3" t="s">
        <v>17</v>
      </c>
      <c r="B80" s="7">
        <f ca="1">TODAY()+1</f>
        <v>46093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">
      <c r="A81" s="3" t="s">
        <v>17</v>
      </c>
      <c r="B81" s="7">
        <f ca="1">TODAY()+1</f>
        <v>46093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f ca="1">TODAY()-10</f>
        <v>46082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">
      <c r="A83" s="3" t="s">
        <v>9</v>
      </c>
      <c r="B83" s="7">
        <f ca="1">TODAY()-10</f>
        <v>46082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">
      <c r="A84" s="3" t="s">
        <v>9</v>
      </c>
      <c r="B84" s="7">
        <f ca="1">TODAY()-9</f>
        <v>46083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">
      <c r="A85" s="3" t="s">
        <v>9</v>
      </c>
      <c r="B85" s="7">
        <f ca="1">TODAY()-9</f>
        <v>46083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">
      <c r="A92" s="3" t="s">
        <v>9</v>
      </c>
      <c r="B92" s="7">
        <f ca="1">TODAY()+2</f>
        <v>46094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">
      <c r="A93" s="3" t="s">
        <v>9</v>
      </c>
      <c r="B93" s="7">
        <f ca="1">TODAY()+2</f>
        <v>46094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">
      <c r="A96" s="3" t="s">
        <v>26</v>
      </c>
      <c r="B96" s="7">
        <f ca="1">TODAY()-50</f>
        <v>46042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">
      <c r="A97" s="3" t="s">
        <v>26</v>
      </c>
      <c r="B97" s="7">
        <f ca="1">TODAY()-50</f>
        <v>46042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">
      <c r="A106" s="3" t="s">
        <v>9</v>
      </c>
      <c r="B106" s="7">
        <f ca="1">TODAY()-8</f>
        <v>46084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">
      <c r="A107" s="3" t="s">
        <v>9</v>
      </c>
      <c r="B107" s="7">
        <f ca="1">TODAY()-8</f>
        <v>46084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">
      <c r="A108" s="3" t="s">
        <v>9</v>
      </c>
      <c r="B108" s="7">
        <f ca="1">TODAY()-34</f>
        <v>46058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9</v>
      </c>
      <c r="B109" s="7">
        <f ca="1">TODAY()-34</f>
        <v>46058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">
      <c r="A114" s="3" t="s">
        <v>31</v>
      </c>
      <c r="B114" s="7">
        <f ca="1">TODAY()+5</f>
        <v>46097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">
      <c r="A115" s="3" t="s">
        <v>31</v>
      </c>
      <c r="B115" s="7">
        <f ca="1">TODAY()+5</f>
        <v>46097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">
      <c r="A116" s="3" t="s">
        <v>21</v>
      </c>
      <c r="B116" s="7">
        <f ca="1">TODAY()+39</f>
        <v>46131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">
      <c r="A117" s="3" t="s">
        <v>21</v>
      </c>
      <c r="B117" s="7">
        <f ca="1">TODAY()+39</f>
        <v>46131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">
      <c r="A118" s="3" t="s">
        <v>9</v>
      </c>
      <c r="B118" s="7">
        <f ca="1">TODAY()-1</f>
        <v>46091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">
      <c r="A119" s="3" t="s">
        <v>9</v>
      </c>
      <c r="B119" s="7">
        <f ca="1">TODAY()-1</f>
        <v>46091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">
      <c r="A122" s="3" t="s">
        <v>9</v>
      </c>
      <c r="B122" s="7">
        <f ca="1">TODAY()+32</f>
        <v>46124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">
      <c r="A123" s="3" t="s">
        <v>9</v>
      </c>
      <c r="B123" s="7">
        <f ca="1">TODAY()+32</f>
        <v>46124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">
      <c r="A138" s="3" t="s">
        <v>9</v>
      </c>
      <c r="B138" s="7">
        <f ca="1">TODAY()-40</f>
        <v>46052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">
      <c r="A139" s="3" t="s">
        <v>9</v>
      </c>
      <c r="B139" s="7">
        <f ca="1">TODAY()-40</f>
        <v>46052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">
      <c r="A140" s="3" t="s">
        <v>9</v>
      </c>
      <c r="B140" s="7">
        <f ca="1">TODAY()+8</f>
        <v>46100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">
      <c r="A141" s="3" t="s">
        <v>9</v>
      </c>
      <c r="B141" s="7">
        <f ca="1">TODAY()+8</f>
        <v>46100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3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3">
      <c r="B153" s="7"/>
    </row>
    <row r="154" spans="1:9" x14ac:dyDescent="0.3">
      <c r="B154" s="7"/>
    </row>
    <row r="155" spans="1:9" x14ac:dyDescent="0.3">
      <c r="B155" s="7"/>
    </row>
    <row r="156" spans="1:9" x14ac:dyDescent="0.3">
      <c r="B156" s="7"/>
    </row>
    <row r="157" spans="1:9" x14ac:dyDescent="0.3">
      <c r="B157" s="7"/>
    </row>
    <row r="158" spans="1:9" x14ac:dyDescent="0.3">
      <c r="B158" s="7"/>
    </row>
    <row r="159" spans="1:9" x14ac:dyDescent="0.3">
      <c r="B159" s="7"/>
    </row>
    <row r="160" spans="1:9" x14ac:dyDescent="0.3">
      <c r="B160" s="7"/>
    </row>
    <row r="161" spans="2:2" x14ac:dyDescent="0.3">
      <c r="B161" s="7"/>
    </row>
    <row r="162" spans="2:2" x14ac:dyDescent="0.3">
      <c r="B162" s="7"/>
    </row>
    <row r="163" spans="2:2" x14ac:dyDescent="0.3">
      <c r="B163" s="7"/>
    </row>
    <row r="164" spans="2:2" x14ac:dyDescent="0.3">
      <c r="B164" s="7"/>
    </row>
    <row r="165" spans="2:2" x14ac:dyDescent="0.3">
      <c r="B165" s="7"/>
    </row>
    <row r="166" spans="2:2" x14ac:dyDescent="0.3">
      <c r="B166" s="7"/>
    </row>
    <row r="167" spans="2:2" x14ac:dyDescent="0.3">
      <c r="B167" s="7"/>
    </row>
    <row r="168" spans="2:2" x14ac:dyDescent="0.3">
      <c r="B168" s="7"/>
    </row>
    <row r="169" spans="2:2" x14ac:dyDescent="0.3">
      <c r="B169" s="7"/>
    </row>
    <row r="170" spans="2:2" x14ac:dyDescent="0.3">
      <c r="B170" s="7"/>
    </row>
    <row r="171" spans="2:2" x14ac:dyDescent="0.3">
      <c r="B171" s="7"/>
    </row>
    <row r="172" spans="2:2" x14ac:dyDescent="0.3">
      <c r="B172" s="7"/>
    </row>
    <row r="173" spans="2:2" x14ac:dyDescent="0.3">
      <c r="B173" s="7"/>
    </row>
    <row r="174" spans="2:2" x14ac:dyDescent="0.3">
      <c r="B174" s="7"/>
    </row>
    <row r="175" spans="2:2" x14ac:dyDescent="0.3">
      <c r="B175" s="7"/>
    </row>
    <row r="176" spans="2:2" x14ac:dyDescent="0.3">
      <c r="B176" s="7"/>
    </row>
    <row r="177" spans="2:2" x14ac:dyDescent="0.3">
      <c r="B177" s="7"/>
    </row>
    <row r="178" spans="2:2" x14ac:dyDescent="0.3">
      <c r="B178" s="7"/>
    </row>
    <row r="179" spans="2:2" x14ac:dyDescent="0.3">
      <c r="B179" s="7"/>
    </row>
    <row r="180" spans="2:2" x14ac:dyDescent="0.3">
      <c r="B180" s="7"/>
    </row>
    <row r="181" spans="2:2" x14ac:dyDescent="0.3">
      <c r="B181" s="7"/>
    </row>
    <row r="182" spans="2:2" x14ac:dyDescent="0.3">
      <c r="B182" s="7"/>
    </row>
    <row r="183" spans="2:2" x14ac:dyDescent="0.3">
      <c r="B183" s="7"/>
    </row>
    <row r="184" spans="2:2" x14ac:dyDescent="0.3">
      <c r="B184" s="7"/>
    </row>
    <row r="185" spans="2:2" x14ac:dyDescent="0.3">
      <c r="B185" s="7"/>
    </row>
    <row r="186" spans="2:2" x14ac:dyDescent="0.3">
      <c r="B186" s="7"/>
    </row>
    <row r="187" spans="2:2" x14ac:dyDescent="0.3">
      <c r="B187" s="7"/>
    </row>
    <row r="188" spans="2:2" x14ac:dyDescent="0.3">
      <c r="B188" s="7"/>
    </row>
    <row r="189" spans="2:2" x14ac:dyDescent="0.3">
      <c r="B189" s="7"/>
    </row>
    <row r="190" spans="2:2" x14ac:dyDescent="0.3">
      <c r="B190" s="7"/>
    </row>
    <row r="191" spans="2:2" x14ac:dyDescent="0.3">
      <c r="B191" s="7"/>
    </row>
    <row r="192" spans="2:2" x14ac:dyDescent="0.3">
      <c r="B192" s="7"/>
    </row>
    <row r="193" spans="2:2" x14ac:dyDescent="0.3">
      <c r="B193" s="7"/>
    </row>
    <row r="194" spans="2:2" x14ac:dyDescent="0.3">
      <c r="B194" s="7"/>
    </row>
    <row r="195" spans="2:2" x14ac:dyDescent="0.3">
      <c r="B195" s="7"/>
    </row>
    <row r="196" spans="2:2" x14ac:dyDescent="0.3">
      <c r="B196" s="7"/>
    </row>
    <row r="197" spans="2:2" x14ac:dyDescent="0.3">
      <c r="B197" s="7"/>
    </row>
    <row r="198" spans="2:2" x14ac:dyDescent="0.3">
      <c r="B198" s="7"/>
    </row>
    <row r="199" spans="2:2" x14ac:dyDescent="0.3">
      <c r="B199" s="7"/>
    </row>
    <row r="200" spans="2:2" x14ac:dyDescent="0.3">
      <c r="B200" s="7"/>
    </row>
    <row r="201" spans="2:2" x14ac:dyDescent="0.3">
      <c r="B201" s="7"/>
    </row>
    <row r="202" spans="2:2" x14ac:dyDescent="0.3">
      <c r="B202" s="7"/>
    </row>
    <row r="203" spans="2:2" x14ac:dyDescent="0.3">
      <c r="B203" s="7"/>
    </row>
    <row r="204" spans="2:2" x14ac:dyDescent="0.3">
      <c r="B204" s="7"/>
    </row>
    <row r="205" spans="2:2" x14ac:dyDescent="0.3">
      <c r="B205" s="7"/>
    </row>
    <row r="206" spans="2:2" x14ac:dyDescent="0.3">
      <c r="B206" s="7"/>
    </row>
    <row r="207" spans="2:2" x14ac:dyDescent="0.3">
      <c r="B207" s="7"/>
    </row>
    <row r="208" spans="2:2" x14ac:dyDescent="0.3">
      <c r="B208" s="7"/>
    </row>
    <row r="209" spans="2:2" x14ac:dyDescent="0.3">
      <c r="B209" s="7"/>
    </row>
    <row r="210" spans="2:2" x14ac:dyDescent="0.3">
      <c r="B210" s="7"/>
    </row>
    <row r="211" spans="2:2" x14ac:dyDescent="0.3">
      <c r="B211" s="7"/>
    </row>
    <row r="212" spans="2:2" x14ac:dyDescent="0.3">
      <c r="B212" s="7"/>
    </row>
    <row r="213" spans="2:2" x14ac:dyDescent="0.3">
      <c r="B213" s="7"/>
    </row>
    <row r="214" spans="2:2" x14ac:dyDescent="0.3">
      <c r="B214" s="7"/>
    </row>
    <row r="215" spans="2:2" x14ac:dyDescent="0.3">
      <c r="B215" s="7"/>
    </row>
    <row r="216" spans="2:2" x14ac:dyDescent="0.3">
      <c r="B216" s="7"/>
    </row>
    <row r="217" spans="2:2" x14ac:dyDescent="0.3">
      <c r="B217" s="7"/>
    </row>
    <row r="218" spans="2:2" x14ac:dyDescent="0.3">
      <c r="B218" s="7"/>
    </row>
    <row r="219" spans="2:2" x14ac:dyDescent="0.3">
      <c r="B219" s="7"/>
    </row>
    <row r="220" spans="2:2" x14ac:dyDescent="0.3">
      <c r="B220" s="7"/>
    </row>
    <row r="221" spans="2:2" x14ac:dyDescent="0.3">
      <c r="B221" s="7"/>
    </row>
    <row r="222" spans="2:2" x14ac:dyDescent="0.3">
      <c r="B222" s="7"/>
    </row>
    <row r="223" spans="2:2" x14ac:dyDescent="0.3">
      <c r="B223" s="7"/>
    </row>
    <row r="224" spans="2:2" x14ac:dyDescent="0.3">
      <c r="B224" s="7"/>
    </row>
    <row r="225" spans="2:2" x14ac:dyDescent="0.3">
      <c r="B225" s="7"/>
    </row>
    <row r="226" spans="2:2" x14ac:dyDescent="0.3">
      <c r="B226" s="7"/>
    </row>
    <row r="227" spans="2:2" x14ac:dyDescent="0.3">
      <c r="B227" s="7"/>
    </row>
    <row r="228" spans="2:2" x14ac:dyDescent="0.3">
      <c r="B228" s="7"/>
    </row>
    <row r="229" spans="2:2" x14ac:dyDescent="0.3">
      <c r="B229" s="7"/>
    </row>
    <row r="230" spans="2:2" x14ac:dyDescent="0.3">
      <c r="B230" s="7"/>
    </row>
    <row r="231" spans="2:2" x14ac:dyDescent="0.3">
      <c r="B231" s="7"/>
    </row>
    <row r="232" spans="2:2" x14ac:dyDescent="0.3">
      <c r="B232" s="7"/>
    </row>
    <row r="233" spans="2:2" x14ac:dyDescent="0.3">
      <c r="B233" s="7"/>
    </row>
    <row r="234" spans="2:2" x14ac:dyDescent="0.3">
      <c r="B234" s="7"/>
    </row>
    <row r="235" spans="2:2" x14ac:dyDescent="0.3">
      <c r="B235" s="7"/>
    </row>
    <row r="236" spans="2:2" x14ac:dyDescent="0.3">
      <c r="B236" s="7"/>
    </row>
    <row r="237" spans="2:2" x14ac:dyDescent="0.3">
      <c r="B237" s="7"/>
    </row>
    <row r="238" spans="2:2" x14ac:dyDescent="0.3">
      <c r="B238" s="7"/>
    </row>
    <row r="239" spans="2:2" x14ac:dyDescent="0.3">
      <c r="B239" s="7"/>
    </row>
    <row r="240" spans="2:2" x14ac:dyDescent="0.3">
      <c r="B240" s="7"/>
    </row>
    <row r="241" spans="2:2" x14ac:dyDescent="0.3">
      <c r="B241" s="7"/>
    </row>
    <row r="242" spans="2:2" x14ac:dyDescent="0.3">
      <c r="B242" s="7"/>
    </row>
    <row r="243" spans="2:2" x14ac:dyDescent="0.3">
      <c r="B243" s="7"/>
    </row>
    <row r="244" spans="2:2" x14ac:dyDescent="0.3">
      <c r="B244" s="7"/>
    </row>
    <row r="245" spans="2:2" x14ac:dyDescent="0.3">
      <c r="B245" s="7"/>
    </row>
    <row r="246" spans="2:2" x14ac:dyDescent="0.3">
      <c r="B246" s="7"/>
    </row>
    <row r="247" spans="2:2" x14ac:dyDescent="0.3">
      <c r="B247" s="7"/>
    </row>
    <row r="248" spans="2:2" x14ac:dyDescent="0.3">
      <c r="B248" s="7"/>
    </row>
    <row r="249" spans="2:2" x14ac:dyDescent="0.3">
      <c r="B249" s="7"/>
    </row>
    <row r="250" spans="2:2" x14ac:dyDescent="0.3">
      <c r="B250" s="7"/>
    </row>
    <row r="251" spans="2:2" x14ac:dyDescent="0.3">
      <c r="B251" s="7"/>
    </row>
    <row r="252" spans="2:2" x14ac:dyDescent="0.3">
      <c r="B252" s="7"/>
    </row>
    <row r="253" spans="2:2" x14ac:dyDescent="0.3">
      <c r="B253" s="7"/>
    </row>
    <row r="254" spans="2:2" x14ac:dyDescent="0.3">
      <c r="B254" s="7"/>
    </row>
    <row r="255" spans="2:2" x14ac:dyDescent="0.3">
      <c r="B255" s="7"/>
    </row>
    <row r="256" spans="2:2" x14ac:dyDescent="0.3">
      <c r="B256" s="7"/>
    </row>
    <row r="257" spans="2:2" x14ac:dyDescent="0.3">
      <c r="B257" s="7"/>
    </row>
    <row r="258" spans="2:2" x14ac:dyDescent="0.3">
      <c r="B258" s="7"/>
    </row>
    <row r="259" spans="2:2" x14ac:dyDescent="0.3">
      <c r="B259" s="7"/>
    </row>
    <row r="260" spans="2:2" x14ac:dyDescent="0.3">
      <c r="B260" s="7"/>
    </row>
    <row r="261" spans="2:2" x14ac:dyDescent="0.3">
      <c r="B261" s="7"/>
    </row>
    <row r="262" spans="2:2" x14ac:dyDescent="0.3">
      <c r="B262" s="7"/>
    </row>
    <row r="263" spans="2:2" x14ac:dyDescent="0.3">
      <c r="B263" s="7"/>
    </row>
    <row r="264" spans="2:2" x14ac:dyDescent="0.3">
      <c r="B264" s="7"/>
    </row>
    <row r="265" spans="2:2" x14ac:dyDescent="0.3">
      <c r="B265" s="7"/>
    </row>
    <row r="266" spans="2:2" x14ac:dyDescent="0.3">
      <c r="B266" s="7"/>
    </row>
    <row r="267" spans="2:2" x14ac:dyDescent="0.3">
      <c r="B267" s="7"/>
    </row>
    <row r="268" spans="2:2" x14ac:dyDescent="0.3">
      <c r="B268" s="7"/>
    </row>
    <row r="269" spans="2:2" x14ac:dyDescent="0.3">
      <c r="B269" s="7"/>
    </row>
    <row r="270" spans="2:2" x14ac:dyDescent="0.3">
      <c r="B270" s="7"/>
    </row>
    <row r="271" spans="2:2" x14ac:dyDescent="0.3">
      <c r="B271" s="7"/>
    </row>
    <row r="272" spans="2:2" x14ac:dyDescent="0.3">
      <c r="B272" s="7"/>
    </row>
    <row r="273" spans="2:2" x14ac:dyDescent="0.3">
      <c r="B273" s="7"/>
    </row>
    <row r="274" spans="2:2" x14ac:dyDescent="0.3">
      <c r="B274" s="7"/>
    </row>
    <row r="275" spans="2:2" x14ac:dyDescent="0.3">
      <c r="B275" s="7"/>
    </row>
    <row r="276" spans="2:2" x14ac:dyDescent="0.3">
      <c r="B276" s="7"/>
    </row>
    <row r="277" spans="2:2" x14ac:dyDescent="0.3">
      <c r="B277" s="7"/>
    </row>
    <row r="278" spans="2:2" x14ac:dyDescent="0.3">
      <c r="B278" s="7"/>
    </row>
    <row r="279" spans="2:2" x14ac:dyDescent="0.3">
      <c r="B279" s="7"/>
    </row>
    <row r="280" spans="2:2" x14ac:dyDescent="0.3">
      <c r="B280" s="7"/>
    </row>
    <row r="281" spans="2:2" x14ac:dyDescent="0.3">
      <c r="B281" s="7"/>
    </row>
    <row r="282" spans="2:2" x14ac:dyDescent="0.3">
      <c r="B282" s="7"/>
    </row>
    <row r="283" spans="2:2" x14ac:dyDescent="0.3">
      <c r="B283" s="7"/>
    </row>
    <row r="284" spans="2:2" x14ac:dyDescent="0.3">
      <c r="B284" s="7"/>
    </row>
    <row r="285" spans="2:2" x14ac:dyDescent="0.3">
      <c r="B285" s="7"/>
    </row>
    <row r="286" spans="2:2" x14ac:dyDescent="0.3">
      <c r="B286" s="7"/>
    </row>
    <row r="287" spans="2:2" x14ac:dyDescent="0.3">
      <c r="B287" s="7"/>
    </row>
    <row r="288" spans="2:2" x14ac:dyDescent="0.3">
      <c r="B288" s="7"/>
    </row>
    <row r="289" spans="2:2" x14ac:dyDescent="0.3">
      <c r="B289" s="7"/>
    </row>
    <row r="290" spans="2:2" x14ac:dyDescent="0.3">
      <c r="B290" s="7"/>
    </row>
    <row r="291" spans="2:2" x14ac:dyDescent="0.3">
      <c r="B291" s="7"/>
    </row>
    <row r="292" spans="2:2" x14ac:dyDescent="0.3">
      <c r="B292" s="7"/>
    </row>
    <row r="293" spans="2:2" x14ac:dyDescent="0.3">
      <c r="B293" s="7"/>
    </row>
    <row r="294" spans="2:2" x14ac:dyDescent="0.3">
      <c r="B294" s="7"/>
    </row>
    <row r="295" spans="2:2" x14ac:dyDescent="0.3">
      <c r="B295" s="7"/>
    </row>
    <row r="296" spans="2:2" x14ac:dyDescent="0.3">
      <c r="B296" s="7"/>
    </row>
    <row r="297" spans="2:2" x14ac:dyDescent="0.3">
      <c r="B297" s="7"/>
    </row>
    <row r="298" spans="2:2" x14ac:dyDescent="0.3">
      <c r="B298" s="7"/>
    </row>
    <row r="299" spans="2:2" x14ac:dyDescent="0.3">
      <c r="B299" s="7"/>
    </row>
    <row r="300" spans="2:2" x14ac:dyDescent="0.3">
      <c r="B300" s="7"/>
    </row>
    <row r="301" spans="2:2" x14ac:dyDescent="0.3">
      <c r="B301" s="7"/>
    </row>
    <row r="302" spans="2:2" x14ac:dyDescent="0.3">
      <c r="B302" s="7"/>
    </row>
    <row r="303" spans="2:2" x14ac:dyDescent="0.3">
      <c r="B303" s="7"/>
    </row>
    <row r="304" spans="2:2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  <row r="332" spans="2:2" x14ac:dyDescent="0.3">
      <c r="B332" s="7"/>
    </row>
    <row r="333" spans="2:2" x14ac:dyDescent="0.3">
      <c r="B333" s="7"/>
    </row>
    <row r="334" spans="2:2" x14ac:dyDescent="0.3">
      <c r="B334" s="7"/>
    </row>
    <row r="335" spans="2:2" x14ac:dyDescent="0.3">
      <c r="B335" s="7"/>
    </row>
    <row r="336" spans="2:2" x14ac:dyDescent="0.3">
      <c r="B336" s="7"/>
    </row>
    <row r="337" spans="2:2" x14ac:dyDescent="0.3">
      <c r="B337" s="7"/>
    </row>
    <row r="338" spans="2:2" x14ac:dyDescent="0.3">
      <c r="B338" s="7"/>
    </row>
    <row r="339" spans="2:2" x14ac:dyDescent="0.3">
      <c r="B339" s="7"/>
    </row>
    <row r="340" spans="2:2" x14ac:dyDescent="0.3">
      <c r="B340" s="7"/>
    </row>
    <row r="341" spans="2:2" x14ac:dyDescent="0.3">
      <c r="B341" s="7"/>
    </row>
    <row r="342" spans="2:2" x14ac:dyDescent="0.3">
      <c r="B342" s="7"/>
    </row>
    <row r="343" spans="2:2" x14ac:dyDescent="0.3">
      <c r="B343" s="7"/>
    </row>
    <row r="344" spans="2:2" x14ac:dyDescent="0.3">
      <c r="B344" s="7"/>
    </row>
    <row r="345" spans="2:2" x14ac:dyDescent="0.3">
      <c r="B345" s="7"/>
    </row>
    <row r="346" spans="2:2" x14ac:dyDescent="0.3">
      <c r="B346" s="7"/>
    </row>
    <row r="347" spans="2:2" x14ac:dyDescent="0.3">
      <c r="B347" s="7"/>
    </row>
    <row r="348" spans="2:2" x14ac:dyDescent="0.3">
      <c r="B348" s="7"/>
    </row>
    <row r="349" spans="2:2" x14ac:dyDescent="0.3">
      <c r="B349" s="7"/>
    </row>
    <row r="350" spans="2:2" x14ac:dyDescent="0.3">
      <c r="B350" s="7"/>
    </row>
    <row r="351" spans="2:2" x14ac:dyDescent="0.3">
      <c r="B351" s="7"/>
    </row>
    <row r="352" spans="2:2" x14ac:dyDescent="0.3">
      <c r="B352" s="7"/>
    </row>
    <row r="353" spans="2:2" x14ac:dyDescent="0.3">
      <c r="B353" s="7"/>
    </row>
    <row r="354" spans="2:2" x14ac:dyDescent="0.3">
      <c r="B354" s="7"/>
    </row>
    <row r="355" spans="2:2" x14ac:dyDescent="0.3">
      <c r="B355" s="7"/>
    </row>
    <row r="356" spans="2:2" x14ac:dyDescent="0.3">
      <c r="B356" s="7"/>
    </row>
    <row r="357" spans="2:2" x14ac:dyDescent="0.3">
      <c r="B357" s="7"/>
    </row>
    <row r="358" spans="2:2" x14ac:dyDescent="0.3">
      <c r="B358" s="7"/>
    </row>
    <row r="359" spans="2:2" x14ac:dyDescent="0.3">
      <c r="B359" s="7"/>
    </row>
    <row r="360" spans="2:2" x14ac:dyDescent="0.3">
      <c r="B360" s="7"/>
    </row>
    <row r="361" spans="2:2" x14ac:dyDescent="0.3">
      <c r="B361" s="7"/>
    </row>
    <row r="362" spans="2:2" x14ac:dyDescent="0.3">
      <c r="B362" s="7"/>
    </row>
    <row r="363" spans="2:2" x14ac:dyDescent="0.3">
      <c r="B363" s="7"/>
    </row>
    <row r="364" spans="2:2" x14ac:dyDescent="0.3">
      <c r="B364" s="7"/>
    </row>
    <row r="365" spans="2:2" x14ac:dyDescent="0.3">
      <c r="B365" s="7"/>
    </row>
    <row r="366" spans="2:2" x14ac:dyDescent="0.3">
      <c r="B366" s="7"/>
    </row>
    <row r="367" spans="2:2" x14ac:dyDescent="0.3">
      <c r="B367" s="7"/>
    </row>
    <row r="368" spans="2:2" x14ac:dyDescent="0.3">
      <c r="B368" s="7"/>
    </row>
    <row r="369" spans="2:2" x14ac:dyDescent="0.3">
      <c r="B369" s="7"/>
    </row>
    <row r="370" spans="2:2" x14ac:dyDescent="0.3">
      <c r="B370" s="7"/>
    </row>
    <row r="371" spans="2:2" x14ac:dyDescent="0.3">
      <c r="B371" s="7"/>
    </row>
    <row r="372" spans="2:2" x14ac:dyDescent="0.3">
      <c r="B372" s="7"/>
    </row>
    <row r="373" spans="2:2" x14ac:dyDescent="0.3">
      <c r="B373" s="7"/>
    </row>
    <row r="374" spans="2:2" x14ac:dyDescent="0.3">
      <c r="B374" s="7"/>
    </row>
    <row r="375" spans="2:2" x14ac:dyDescent="0.3">
      <c r="B375" s="7"/>
    </row>
    <row r="376" spans="2:2" x14ac:dyDescent="0.3">
      <c r="B376" s="7"/>
    </row>
    <row r="377" spans="2:2" x14ac:dyDescent="0.3">
      <c r="B377" s="7"/>
    </row>
    <row r="378" spans="2:2" x14ac:dyDescent="0.3">
      <c r="B378" s="7"/>
    </row>
    <row r="379" spans="2:2" x14ac:dyDescent="0.3">
      <c r="B379" s="7"/>
    </row>
    <row r="380" spans="2:2" x14ac:dyDescent="0.3">
      <c r="B380" s="7"/>
    </row>
    <row r="381" spans="2:2" x14ac:dyDescent="0.3">
      <c r="B381" s="7"/>
    </row>
    <row r="382" spans="2:2" x14ac:dyDescent="0.3">
      <c r="B382" s="7"/>
    </row>
    <row r="383" spans="2:2" x14ac:dyDescent="0.3">
      <c r="B383" s="7"/>
    </row>
    <row r="384" spans="2:2" x14ac:dyDescent="0.3">
      <c r="B384" s="7"/>
    </row>
    <row r="385" spans="2:2" x14ac:dyDescent="0.3">
      <c r="B385" s="7"/>
    </row>
    <row r="386" spans="2:2" x14ac:dyDescent="0.3">
      <c r="B386" s="7"/>
    </row>
    <row r="387" spans="2:2" x14ac:dyDescent="0.3">
      <c r="B387" s="7"/>
    </row>
    <row r="388" spans="2:2" x14ac:dyDescent="0.3">
      <c r="B388" s="7"/>
    </row>
    <row r="389" spans="2:2" x14ac:dyDescent="0.3">
      <c r="B389" s="7"/>
    </row>
    <row r="390" spans="2:2" x14ac:dyDescent="0.3">
      <c r="B390" s="7"/>
    </row>
    <row r="391" spans="2:2" x14ac:dyDescent="0.3">
      <c r="B391" s="7"/>
    </row>
    <row r="392" spans="2:2" x14ac:dyDescent="0.3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7.109375" customWidth="1"/>
    <col min="2" max="2" width="12.88671875" bestFit="1" customWidth="1"/>
    <col min="3" max="3" width="14" bestFit="1" customWidth="1"/>
    <col min="4" max="4" width="38.44140625" customWidth="1"/>
    <col min="5" max="5" width="9.88671875" bestFit="1" customWidth="1"/>
    <col min="6" max="6" width="13.44140625" bestFit="1" customWidth="1"/>
    <col min="7" max="7" width="14.6640625" bestFit="1" customWidth="1"/>
    <col min="8" max="8" width="13.5546875" bestFit="1" customWidth="1"/>
    <col min="9" max="9" width="12.88671875" bestFit="1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7">
        <v>44327</v>
      </c>
      <c r="C2" s="3" t="s">
        <v>38</v>
      </c>
      <c r="D2" s="3" t="s">
        <v>23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">
      <c r="A3" s="3" t="s">
        <v>9</v>
      </c>
      <c r="B3" s="7">
        <v>44327</v>
      </c>
      <c r="C3" s="3" t="s">
        <v>38</v>
      </c>
      <c r="D3" s="3" t="s">
        <v>23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">
      <c r="A4" s="3" t="s">
        <v>9</v>
      </c>
      <c r="B4" s="7">
        <v>44359</v>
      </c>
      <c r="C4" s="3" t="s">
        <v>38</v>
      </c>
      <c r="D4" s="3" t="s">
        <v>23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">
      <c r="A5" s="3" t="s">
        <v>9</v>
      </c>
      <c r="B5" s="7">
        <v>44359</v>
      </c>
      <c r="C5" s="20" t="s">
        <v>38</v>
      </c>
      <c r="D5" s="3" t="s">
        <v>23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">
      <c r="A6" s="3" t="s">
        <v>17</v>
      </c>
      <c r="B6" s="7">
        <v>44367</v>
      </c>
      <c r="C6" s="20" t="s">
        <v>38</v>
      </c>
      <c r="D6" s="3" t="s">
        <v>23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">
      <c r="A7" s="3" t="s">
        <v>17</v>
      </c>
      <c r="B7" s="7">
        <v>44367</v>
      </c>
      <c r="C7" s="20" t="s">
        <v>38</v>
      </c>
      <c r="D7" s="3" t="s">
        <v>23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">
      <c r="A8" s="3" t="s">
        <v>21</v>
      </c>
      <c r="B8" s="7">
        <v>44375</v>
      </c>
      <c r="C8" s="20" t="s">
        <v>38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">
      <c r="A9" s="3" t="s">
        <v>21</v>
      </c>
      <c r="B9" s="7">
        <v>44375</v>
      </c>
      <c r="C9" s="3" t="s">
        <v>38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">
      <c r="A10" s="3" t="s">
        <v>9</v>
      </c>
      <c r="B10" s="7">
        <v>44391</v>
      </c>
      <c r="C10" s="3" t="s">
        <v>38</v>
      </c>
      <c r="D10" s="3" t="s">
        <v>23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">
      <c r="A11" s="3" t="s">
        <v>9</v>
      </c>
      <c r="B11" s="7">
        <v>44391</v>
      </c>
      <c r="C11" s="3" t="s">
        <v>38</v>
      </c>
      <c r="D11" s="3" t="s">
        <v>23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">
      <c r="A12" s="3" t="s">
        <v>9</v>
      </c>
      <c r="B12" s="7">
        <v>44399</v>
      </c>
      <c r="C12" s="20" t="s">
        <v>38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44399</v>
      </c>
      <c r="C13" s="20" t="s">
        <v>38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26</v>
      </c>
      <c r="B14" s="7">
        <v>44407</v>
      </c>
      <c r="C14" s="20" t="s">
        <v>20</v>
      </c>
      <c r="D14" s="3" t="s">
        <v>11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">
      <c r="A15" s="3" t="s">
        <v>26</v>
      </c>
      <c r="B15" s="7">
        <v>44407</v>
      </c>
      <c r="C15" s="3" t="s">
        <v>20</v>
      </c>
      <c r="D15" s="3" t="s">
        <v>11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">
      <c r="A16" s="3" t="s">
        <v>9</v>
      </c>
      <c r="B16" s="7">
        <v>44415</v>
      </c>
      <c r="C16" s="20" t="s">
        <v>20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">
      <c r="A17" s="3" t="s">
        <v>9</v>
      </c>
      <c r="B17" s="7">
        <v>44415</v>
      </c>
      <c r="C17" s="3" t="s">
        <v>20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">
      <c r="A18" s="3" t="s">
        <v>17</v>
      </c>
      <c r="B18" s="7">
        <v>44423</v>
      </c>
      <c r="C18" s="3" t="s">
        <v>20</v>
      </c>
      <c r="D18" s="3" t="s">
        <v>11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17</v>
      </c>
      <c r="B19" s="7">
        <v>44423</v>
      </c>
      <c r="C19" s="3" t="s">
        <v>20</v>
      </c>
      <c r="D19" s="3" t="s">
        <v>11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17</v>
      </c>
      <c r="B20" s="7">
        <v>44431</v>
      </c>
      <c r="C20" s="20" t="s">
        <v>20</v>
      </c>
      <c r="D20" s="3" t="s">
        <v>11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17</v>
      </c>
      <c r="B21" s="7">
        <v>44431</v>
      </c>
      <c r="C21" s="20" t="s">
        <v>20</v>
      </c>
      <c r="D21" s="3" t="s">
        <v>11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44439</v>
      </c>
      <c r="C22" s="20" t="s">
        <v>20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">
      <c r="A23" s="3" t="s">
        <v>9</v>
      </c>
      <c r="B23" s="7">
        <v>44439</v>
      </c>
      <c r="C23" s="3" t="s">
        <v>30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">
      <c r="A24" s="3" t="s">
        <v>31</v>
      </c>
      <c r="B24" s="7">
        <v>44447</v>
      </c>
      <c r="C24" s="3" t="s">
        <v>30</v>
      </c>
      <c r="D24" s="3" t="s">
        <v>11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">
      <c r="A25" s="3" t="s">
        <v>31</v>
      </c>
      <c r="B25" s="7">
        <v>44447</v>
      </c>
      <c r="C25" s="20" t="s">
        <v>30</v>
      </c>
      <c r="D25" s="3" t="s">
        <v>11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">
      <c r="A26" s="3" t="s">
        <v>26</v>
      </c>
      <c r="B26" s="7">
        <v>44455</v>
      </c>
      <c r="C26" s="3" t="s">
        <v>30</v>
      </c>
      <c r="D26" s="3" t="s">
        <v>11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">
      <c r="A27" s="3" t="s">
        <v>26</v>
      </c>
      <c r="B27" s="7">
        <v>44455</v>
      </c>
      <c r="C27" s="3" t="s">
        <v>30</v>
      </c>
      <c r="D27" s="3" t="s">
        <v>11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">
      <c r="A28" s="3" t="s">
        <v>26</v>
      </c>
      <c r="B28" s="7">
        <v>44463</v>
      </c>
      <c r="C28" s="3" t="s">
        <v>30</v>
      </c>
      <c r="D28" s="3" t="s">
        <v>11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26</v>
      </c>
      <c r="B29" s="7">
        <v>44463</v>
      </c>
      <c r="C29" s="20" t="s">
        <v>30</v>
      </c>
      <c r="D29" s="3" t="s">
        <v>11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26</v>
      </c>
      <c r="B30" s="7">
        <v>44479</v>
      </c>
      <c r="C30" s="20" t="s">
        <v>30</v>
      </c>
      <c r="D30" s="3" t="s">
        <v>11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26</v>
      </c>
      <c r="B31" s="7">
        <v>44479</v>
      </c>
      <c r="C31" s="3" t="s">
        <v>30</v>
      </c>
      <c r="D31" s="3" t="s">
        <v>11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">
      <c r="A32" s="15" t="s">
        <v>31</v>
      </c>
      <c r="B32" s="7">
        <v>44487</v>
      </c>
      <c r="C32" s="3" t="s">
        <v>30</v>
      </c>
      <c r="D32" s="3" t="s">
        <v>11</v>
      </c>
      <c r="E32" s="17">
        <v>39</v>
      </c>
      <c r="F32" s="18">
        <v>0</v>
      </c>
      <c r="G32" s="18">
        <v>0</v>
      </c>
      <c r="H32" s="18">
        <v>0</v>
      </c>
      <c r="I32" s="18" t="s">
        <v>12</v>
      </c>
    </row>
    <row r="33" spans="1:9" x14ac:dyDescent="0.3">
      <c r="A33" s="3" t="s">
        <v>31</v>
      </c>
      <c r="B33" s="7">
        <v>44487</v>
      </c>
      <c r="C33" s="3" t="s">
        <v>30</v>
      </c>
      <c r="D33" s="3" t="s">
        <v>11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">
      <c r="A34" s="3" t="s">
        <v>9</v>
      </c>
      <c r="B34" s="7">
        <v>44519</v>
      </c>
      <c r="C34" s="20" t="s">
        <v>30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44519</v>
      </c>
      <c r="C35" s="19" t="s">
        <v>35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17</v>
      </c>
      <c r="B36" s="7">
        <v>44527</v>
      </c>
      <c r="C36" s="19" t="s">
        <v>35</v>
      </c>
      <c r="D36" s="3" t="s">
        <v>11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">
      <c r="A37" s="3" t="s">
        <v>17</v>
      </c>
      <c r="B37" s="7">
        <v>44527</v>
      </c>
      <c r="C37" s="12" t="s">
        <v>35</v>
      </c>
      <c r="D37" s="3" t="s">
        <v>11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">
      <c r="A38" s="3" t="s">
        <v>9</v>
      </c>
      <c r="B38" s="7">
        <v>44535</v>
      </c>
      <c r="C38" s="12" t="s">
        <v>35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44535</v>
      </c>
      <c r="C39" s="12" t="s">
        <v>35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26</v>
      </c>
      <c r="B40" s="7">
        <v>44543</v>
      </c>
      <c r="C40" s="20" t="s">
        <v>39</v>
      </c>
      <c r="D40" s="3" t="s">
        <v>11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26</v>
      </c>
      <c r="B41" s="7">
        <v>44543</v>
      </c>
      <c r="C41" s="20" t="s">
        <v>13</v>
      </c>
      <c r="D41" s="3" t="s">
        <v>11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17</v>
      </c>
      <c r="B42" s="7">
        <v>44544</v>
      </c>
      <c r="C42" s="20" t="s">
        <v>13</v>
      </c>
      <c r="D42" s="3" t="s">
        <v>11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">
      <c r="A43" s="3" t="s">
        <v>17</v>
      </c>
      <c r="B43" s="7">
        <v>44544</v>
      </c>
      <c r="C43" s="3" t="s">
        <v>13</v>
      </c>
      <c r="D43" s="3" t="s">
        <v>11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">
      <c r="A44" s="3" t="s">
        <v>9</v>
      </c>
      <c r="B44" s="7">
        <v>44545</v>
      </c>
      <c r="C44" s="3" t="s">
        <v>13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">
      <c r="A45" s="3" t="s">
        <v>9</v>
      </c>
      <c r="B45" s="7">
        <v>44545</v>
      </c>
      <c r="C45" s="3" t="s">
        <v>13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">
      <c r="A46" s="3" t="s">
        <v>31</v>
      </c>
      <c r="B46" s="7">
        <v>44549</v>
      </c>
      <c r="C46" s="20" t="s">
        <v>13</v>
      </c>
      <c r="D46" s="3" t="s">
        <v>11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">
      <c r="A47" s="3" t="s">
        <v>31</v>
      </c>
      <c r="B47" s="7">
        <v>44549</v>
      </c>
      <c r="C47" s="20" t="s">
        <v>13</v>
      </c>
      <c r="D47" s="3" t="s">
        <v>11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">
      <c r="A48" s="3" t="s">
        <v>31</v>
      </c>
      <c r="B48" s="7">
        <v>44550</v>
      </c>
      <c r="C48" s="20" t="s">
        <v>13</v>
      </c>
      <c r="D48" s="3" t="s">
        <v>11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31</v>
      </c>
      <c r="B49" s="7">
        <v>44550</v>
      </c>
      <c r="C49" s="20" t="s">
        <v>13</v>
      </c>
      <c r="D49" s="3" t="s">
        <v>11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17</v>
      </c>
      <c r="B50" s="7">
        <v>44551</v>
      </c>
      <c r="C50" s="3" t="s">
        <v>13</v>
      </c>
      <c r="D50" s="3" t="s">
        <v>11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17</v>
      </c>
      <c r="B51" s="7">
        <v>44551</v>
      </c>
      <c r="C51" s="3" t="s">
        <v>13</v>
      </c>
      <c r="D51" s="3" t="s">
        <v>11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44556</v>
      </c>
      <c r="C52" s="3" t="s">
        <v>13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44556</v>
      </c>
      <c r="C53" s="20" t="s">
        <v>13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44557</v>
      </c>
      <c r="C54" s="20" t="s">
        <v>13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">
      <c r="A55" s="3" t="s">
        <v>9</v>
      </c>
      <c r="B55" s="7">
        <v>44557</v>
      </c>
      <c r="C55" s="20" t="s">
        <v>13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">
      <c r="A56" s="3" t="s">
        <v>17</v>
      </c>
      <c r="B56" s="7">
        <v>44558</v>
      </c>
      <c r="C56" s="3" t="s">
        <v>14</v>
      </c>
      <c r="D56" s="3" t="s">
        <v>11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">
      <c r="A57" s="3" t="s">
        <v>17</v>
      </c>
      <c r="B57" s="7">
        <v>44558</v>
      </c>
      <c r="C57" s="20" t="s">
        <v>14</v>
      </c>
      <c r="D57" s="3" t="s">
        <v>11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">
      <c r="A58" s="3" t="s">
        <v>17</v>
      </c>
      <c r="B58" s="7">
        <v>44560</v>
      </c>
      <c r="C58" s="3" t="s">
        <v>14</v>
      </c>
      <c r="D58" s="3" t="s">
        <v>11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17</v>
      </c>
      <c r="B59" s="7">
        <v>44560</v>
      </c>
      <c r="C59" s="3" t="s">
        <v>14</v>
      </c>
      <c r="D59" s="3" t="s">
        <v>11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44561</v>
      </c>
      <c r="C60" s="3" t="s">
        <v>14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">
      <c r="A61" s="3" t="s">
        <v>9</v>
      </c>
      <c r="B61" s="7">
        <v>44561</v>
      </c>
      <c r="C61" s="10" t="s">
        <v>14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44562</v>
      </c>
      <c r="C62" s="20" t="s">
        <v>14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">
      <c r="A63" s="3" t="s">
        <v>9</v>
      </c>
      <c r="B63" s="7">
        <v>44562</v>
      </c>
      <c r="C63" s="10" t="s">
        <v>14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">
      <c r="A64" s="3" t="s">
        <v>9</v>
      </c>
      <c r="B64" s="7">
        <v>44563</v>
      </c>
      <c r="C64" s="3" t="s">
        <v>14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">
      <c r="A65" s="3" t="s">
        <v>9</v>
      </c>
      <c r="B65" s="7">
        <v>44563</v>
      </c>
      <c r="C65" s="3" t="s">
        <v>14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">
      <c r="A66" s="3" t="s">
        <v>31</v>
      </c>
      <c r="B66" s="7">
        <v>44566</v>
      </c>
      <c r="C66" s="20" t="s">
        <v>14</v>
      </c>
      <c r="D66" s="3" t="s">
        <v>11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31</v>
      </c>
      <c r="B67" s="7">
        <v>44566</v>
      </c>
      <c r="C67" s="3" t="s">
        <v>14</v>
      </c>
      <c r="D67" s="3" t="s">
        <v>11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17</v>
      </c>
      <c r="B68" s="7">
        <v>44567</v>
      </c>
      <c r="C68" s="3" t="s">
        <v>14</v>
      </c>
      <c r="D68" s="3" t="s">
        <v>11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">
      <c r="A69" s="3" t="s">
        <v>17</v>
      </c>
      <c r="B69" s="7">
        <v>44567</v>
      </c>
      <c r="C69" s="3" t="s">
        <v>14</v>
      </c>
      <c r="D69" s="3" t="s">
        <v>11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v>44570</v>
      </c>
      <c r="C70" s="20" t="s">
        <v>14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">
      <c r="A71" s="3" t="s">
        <v>9</v>
      </c>
      <c r="B71" s="7">
        <v>44570</v>
      </c>
      <c r="C71" s="20" t="s">
        <v>24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">
      <c r="A72" s="3" t="s">
        <v>9</v>
      </c>
      <c r="B72" s="7">
        <v>44571</v>
      </c>
      <c r="C72" s="3" t="s">
        <v>24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">
      <c r="A73" s="3" t="s">
        <v>9</v>
      </c>
      <c r="B73" s="7">
        <v>44571</v>
      </c>
      <c r="C73" s="20" t="s">
        <v>24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">
      <c r="A74" s="3" t="s">
        <v>9</v>
      </c>
      <c r="B74" s="7">
        <v>44572</v>
      </c>
      <c r="C74" s="3" t="s">
        <v>24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">
      <c r="A75" s="3" t="s">
        <v>9</v>
      </c>
      <c r="B75" s="7">
        <v>44572</v>
      </c>
      <c r="C75" s="3" t="s">
        <v>32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">
      <c r="A76" s="3" t="s">
        <v>17</v>
      </c>
      <c r="B76" s="16">
        <v>44573</v>
      </c>
      <c r="C76" s="20" t="s">
        <v>32</v>
      </c>
      <c r="D76" s="3" t="s">
        <v>11</v>
      </c>
      <c r="E76" s="5">
        <v>30</v>
      </c>
      <c r="F76" s="21">
        <v>150</v>
      </c>
      <c r="G76" s="21">
        <v>0</v>
      </c>
      <c r="H76" s="21">
        <v>10</v>
      </c>
      <c r="I76" s="21" t="s">
        <v>15</v>
      </c>
    </row>
    <row r="77" spans="1:9" x14ac:dyDescent="0.3">
      <c r="A77" s="3" t="s">
        <v>17</v>
      </c>
      <c r="B77" s="7">
        <v>44573</v>
      </c>
      <c r="C77" s="20" t="s">
        <v>32</v>
      </c>
      <c r="D77" s="3" t="s">
        <v>11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">
      <c r="A78" s="3" t="s">
        <v>17</v>
      </c>
      <c r="B78" s="7">
        <v>44574</v>
      </c>
      <c r="C78" s="20" t="s">
        <v>32</v>
      </c>
      <c r="D78" s="3" t="s">
        <v>11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">
      <c r="A79" s="3" t="s">
        <v>17</v>
      </c>
      <c r="B79" s="7">
        <v>44574</v>
      </c>
      <c r="C79" s="20" t="s">
        <v>22</v>
      </c>
      <c r="D79" s="3" t="s">
        <v>11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">
      <c r="A80" s="3" t="s">
        <v>17</v>
      </c>
      <c r="B80" s="7">
        <v>44575</v>
      </c>
      <c r="C80" s="20" t="s">
        <v>22</v>
      </c>
      <c r="D80" s="3" t="s">
        <v>11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">
      <c r="A81" s="3" t="s">
        <v>17</v>
      </c>
      <c r="B81" s="7">
        <v>44575</v>
      </c>
      <c r="C81" s="20" t="s">
        <v>22</v>
      </c>
      <c r="D81" s="3" t="s">
        <v>11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v>44579</v>
      </c>
      <c r="C82" s="20" t="s">
        <v>22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">
      <c r="A83" s="3" t="s">
        <v>9</v>
      </c>
      <c r="B83" s="7">
        <v>44579</v>
      </c>
      <c r="C83" s="19" t="s">
        <v>27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">
      <c r="A84" s="3" t="s">
        <v>9</v>
      </c>
      <c r="B84" s="7">
        <v>44580</v>
      </c>
      <c r="C84" s="19" t="s">
        <v>27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">
      <c r="A85" s="3" t="s">
        <v>9</v>
      </c>
      <c r="B85" s="7">
        <v>44580</v>
      </c>
      <c r="C85" s="19" t="s">
        <v>27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">
      <c r="A86" s="3" t="s">
        <v>9</v>
      </c>
      <c r="B86" s="7">
        <v>44581</v>
      </c>
      <c r="C86" s="19" t="s">
        <v>40</v>
      </c>
      <c r="D86" s="3" t="s">
        <v>33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">
      <c r="A87" s="3" t="s">
        <v>9</v>
      </c>
      <c r="B87" s="7">
        <v>44581</v>
      </c>
      <c r="C87" s="19" t="s">
        <v>40</v>
      </c>
      <c r="D87" s="3" t="s">
        <v>33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">
      <c r="A88" s="3" t="s">
        <v>9</v>
      </c>
      <c r="B88" s="7">
        <v>44584</v>
      </c>
      <c r="C88" s="19" t="s">
        <v>40</v>
      </c>
      <c r="D88" s="15" t="s">
        <v>33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">
      <c r="A89" s="3" t="s">
        <v>9</v>
      </c>
      <c r="B89" s="7">
        <v>44584</v>
      </c>
      <c r="C89" s="20" t="s">
        <v>37</v>
      </c>
      <c r="D89" s="3" t="s">
        <v>33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">
      <c r="A90" s="3" t="s">
        <v>9</v>
      </c>
      <c r="B90" s="7">
        <v>44585</v>
      </c>
      <c r="C90" s="20" t="s">
        <v>37</v>
      </c>
      <c r="D90" s="3" t="s">
        <v>33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">
      <c r="A91" s="3" t="s">
        <v>9</v>
      </c>
      <c r="B91" s="7">
        <v>44585</v>
      </c>
      <c r="C91" s="20" t="s">
        <v>18</v>
      </c>
      <c r="D91" s="3" t="s">
        <v>33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">
      <c r="A92" s="3" t="s">
        <v>9</v>
      </c>
      <c r="B92" s="7">
        <v>44586</v>
      </c>
      <c r="C92" s="20" t="s">
        <v>18</v>
      </c>
      <c r="D92" s="3" t="s">
        <v>33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">
      <c r="A93" s="3" t="s">
        <v>9</v>
      </c>
      <c r="B93" s="7">
        <v>44586</v>
      </c>
      <c r="C93" s="20" t="s">
        <v>18</v>
      </c>
      <c r="D93" s="3" t="s">
        <v>33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">
      <c r="A94" s="3" t="s">
        <v>17</v>
      </c>
      <c r="B94" s="7">
        <v>44587</v>
      </c>
      <c r="C94" s="20" t="s">
        <v>18</v>
      </c>
      <c r="D94" s="3" t="s">
        <v>33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">
      <c r="A95" s="3" t="s">
        <v>17</v>
      </c>
      <c r="B95" s="7">
        <v>44587</v>
      </c>
      <c r="C95" s="20" t="s">
        <v>18</v>
      </c>
      <c r="D95" s="3" t="s">
        <v>33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">
      <c r="A96" s="3" t="s">
        <v>26</v>
      </c>
      <c r="B96" s="7">
        <v>44589</v>
      </c>
      <c r="C96" s="3" t="s">
        <v>18</v>
      </c>
      <c r="D96" s="3" t="s">
        <v>33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">
      <c r="A97" s="3" t="s">
        <v>26</v>
      </c>
      <c r="B97" s="7">
        <v>44589</v>
      </c>
      <c r="C97" s="3" t="s">
        <v>18</v>
      </c>
      <c r="D97" s="3" t="s">
        <v>33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">
      <c r="A98" s="3" t="s">
        <v>9</v>
      </c>
      <c r="B98" s="7">
        <v>44590</v>
      </c>
      <c r="C98" s="3" t="s">
        <v>18</v>
      </c>
      <c r="D98" s="3" t="s">
        <v>19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">
      <c r="A99" s="3" t="s">
        <v>9</v>
      </c>
      <c r="B99" s="7">
        <v>44590</v>
      </c>
      <c r="C99" s="3" t="s">
        <v>18</v>
      </c>
      <c r="D99" s="3" t="s">
        <v>19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">
      <c r="A100" s="3" t="s">
        <v>26</v>
      </c>
      <c r="B100" s="7">
        <v>44592</v>
      </c>
      <c r="C100" s="3" t="s">
        <v>18</v>
      </c>
      <c r="D100" s="3" t="s">
        <v>19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26</v>
      </c>
      <c r="B101" s="7">
        <v>44592</v>
      </c>
      <c r="C101" s="3" t="s">
        <v>18</v>
      </c>
      <c r="D101" s="3" t="s">
        <v>19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26</v>
      </c>
      <c r="B102" s="7">
        <v>44593</v>
      </c>
      <c r="C102" s="3" t="s">
        <v>18</v>
      </c>
      <c r="D102" s="3" t="s">
        <v>19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">
      <c r="A103" s="3" t="s">
        <v>26</v>
      </c>
      <c r="B103" s="7">
        <v>44593</v>
      </c>
      <c r="C103" s="3" t="s">
        <v>18</v>
      </c>
      <c r="D103" s="3" t="s">
        <v>19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">
      <c r="A104" s="3" t="s">
        <v>17</v>
      </c>
      <c r="B104" s="7">
        <f ca="1">TODAY()-59</f>
        <v>46033</v>
      </c>
      <c r="C104" s="12" t="s">
        <v>34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">
      <c r="A105" s="3" t="s">
        <v>17</v>
      </c>
      <c r="B105" s="7">
        <f ca="1">TODAY()-59</f>
        <v>46033</v>
      </c>
      <c r="C105" s="12" t="s">
        <v>34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">
      <c r="A106" s="3" t="s">
        <v>9</v>
      </c>
      <c r="B106" s="7">
        <f ca="1">TODAY()-50</f>
        <v>46042</v>
      </c>
      <c r="C106" s="12" t="s">
        <v>34</v>
      </c>
      <c r="D106" s="3" t="s">
        <v>19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">
      <c r="A107" s="3" t="s">
        <v>9</v>
      </c>
      <c r="B107" s="7">
        <f ca="1">TODAY()-50</f>
        <v>46042</v>
      </c>
      <c r="C107" s="12" t="s">
        <v>34</v>
      </c>
      <c r="D107" s="3" t="s">
        <v>19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">
      <c r="A108" s="3" t="s">
        <v>9</v>
      </c>
      <c r="B108" s="7">
        <f ca="1">TODAY()-45</f>
        <v>46047</v>
      </c>
      <c r="C108" s="3" t="s">
        <v>41</v>
      </c>
      <c r="D108" s="3" t="s">
        <v>19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9</v>
      </c>
      <c r="B109" s="7">
        <f ca="1">TODAY()-45</f>
        <v>46047</v>
      </c>
      <c r="C109" s="3" t="s">
        <v>41</v>
      </c>
      <c r="D109" s="3" t="s">
        <v>19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f ca="1">TODAY()-40</f>
        <v>46052</v>
      </c>
      <c r="C110" s="12" t="s">
        <v>29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">
      <c r="A111" s="3" t="s">
        <v>17</v>
      </c>
      <c r="B111" s="7">
        <f ca="1">TODAY()-40</f>
        <v>46052</v>
      </c>
      <c r="C111" s="12" t="s">
        <v>29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">
      <c r="A112" s="3" t="s">
        <v>21</v>
      </c>
      <c r="B112" s="7">
        <f ca="1">TODAY()-34</f>
        <v>46058</v>
      </c>
      <c r="C112" s="12" t="s">
        <v>29</v>
      </c>
      <c r="D112" s="3" t="s">
        <v>19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">
      <c r="A113" s="3" t="s">
        <v>21</v>
      </c>
      <c r="B113" s="7">
        <f ca="1">TODAY()-34</f>
        <v>46058</v>
      </c>
      <c r="C113" s="12" t="s">
        <v>29</v>
      </c>
      <c r="D113" s="3" t="s">
        <v>19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">
      <c r="A114" s="3" t="s">
        <v>31</v>
      </c>
      <c r="B114" s="7">
        <f ca="1">TODAY()-32</f>
        <v>46060</v>
      </c>
      <c r="C114" s="12" t="s">
        <v>29</v>
      </c>
      <c r="D114" s="3" t="s">
        <v>19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">
      <c r="A115" s="3" t="s">
        <v>31</v>
      </c>
      <c r="B115" s="7">
        <f ca="1">TODAY()-32</f>
        <v>46060</v>
      </c>
      <c r="C115" s="15" t="s">
        <v>36</v>
      </c>
      <c r="D115" s="3" t="s">
        <v>19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">
      <c r="A116" s="3" t="s">
        <v>21</v>
      </c>
      <c r="B116" s="7">
        <f ca="1">TODAY()-10</f>
        <v>46082</v>
      </c>
      <c r="C116" s="3" t="s">
        <v>36</v>
      </c>
      <c r="D116" s="3" t="s">
        <v>19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">
      <c r="A117" s="3" t="s">
        <v>21</v>
      </c>
      <c r="B117" s="7">
        <f ca="1">TODAY()-10</f>
        <v>46082</v>
      </c>
      <c r="C117" s="3" t="s">
        <v>36</v>
      </c>
      <c r="D117" s="3" t="s">
        <v>19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">
      <c r="A118" s="3" t="s">
        <v>9</v>
      </c>
      <c r="B118" s="7">
        <f ca="1">TODAY()-10</f>
        <v>46082</v>
      </c>
      <c r="C118" s="3" t="s">
        <v>36</v>
      </c>
      <c r="D118" s="3" t="s">
        <v>19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">
      <c r="A119" s="3" t="s">
        <v>9</v>
      </c>
      <c r="B119" s="7">
        <f ca="1">TODAY()-10</f>
        <v>46082</v>
      </c>
      <c r="C119" s="3" t="s">
        <v>36</v>
      </c>
      <c r="D119" s="3" t="s">
        <v>19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">
      <c r="A120" s="3" t="s">
        <v>9</v>
      </c>
      <c r="B120" s="7">
        <f ca="1">TODAY()-9</f>
        <v>46083</v>
      </c>
      <c r="C120" s="3" t="s">
        <v>16</v>
      </c>
      <c r="D120" s="3" t="s">
        <v>19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">
      <c r="A121" s="3" t="s">
        <v>9</v>
      </c>
      <c r="B121" s="7">
        <f ca="1">TODAY()-9</f>
        <v>46083</v>
      </c>
      <c r="C121" s="3" t="s">
        <v>16</v>
      </c>
      <c r="D121" s="3" t="s">
        <v>19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">
      <c r="A122" s="3" t="s">
        <v>9</v>
      </c>
      <c r="B122" s="7">
        <f ca="1">TODAY()-8</f>
        <v>46084</v>
      </c>
      <c r="C122" s="3" t="s">
        <v>16</v>
      </c>
      <c r="D122" s="3" t="s">
        <v>19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">
      <c r="A123" s="3" t="s">
        <v>9</v>
      </c>
      <c r="B123" s="7">
        <f ca="1">TODAY()-8</f>
        <v>46084</v>
      </c>
      <c r="C123" s="3" t="s">
        <v>16</v>
      </c>
      <c r="D123" s="3" t="s">
        <v>19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">
      <c r="A124" s="3" t="s">
        <v>9</v>
      </c>
      <c r="B124" s="7">
        <f ca="1">TODAY()-8</f>
        <v>46084</v>
      </c>
      <c r="C124" s="3" t="s">
        <v>16</v>
      </c>
      <c r="D124" s="3" t="s">
        <v>19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">
      <c r="A125" s="3" t="s">
        <v>9</v>
      </c>
      <c r="B125" s="7">
        <f ca="1">TODAY()-8</f>
        <v>46084</v>
      </c>
      <c r="C125" s="3" t="s">
        <v>16</v>
      </c>
      <c r="D125" s="3" t="s">
        <v>19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">
      <c r="A126" s="3" t="s">
        <v>9</v>
      </c>
      <c r="B126" s="7">
        <f ca="1">TODAY()-3</f>
        <v>46089</v>
      </c>
      <c r="C126" s="3" t="s">
        <v>16</v>
      </c>
      <c r="D126" s="3" t="s">
        <v>19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">
      <c r="A127" s="3" t="s">
        <v>9</v>
      </c>
      <c r="B127" s="7">
        <f ca="1">TODAY()-3</f>
        <v>46089</v>
      </c>
      <c r="C127" s="3" t="s">
        <v>16</v>
      </c>
      <c r="D127" s="3" t="s">
        <v>19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">
      <c r="A128" s="3" t="s">
        <v>17</v>
      </c>
      <c r="B128" s="7">
        <f ca="1">TODAY()-1</f>
        <v>46091</v>
      </c>
      <c r="C128" s="3" t="s">
        <v>16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">
      <c r="A129" s="3" t="s">
        <v>17</v>
      </c>
      <c r="B129" s="7">
        <f ca="1">TODAY()-1</f>
        <v>46091</v>
      </c>
      <c r="C129" s="3" t="s">
        <v>16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f ca="1">TODAY()+1</f>
        <v>46093</v>
      </c>
      <c r="C130" s="3" t="s">
        <v>16</v>
      </c>
      <c r="D130" s="3" t="s">
        <v>19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">
      <c r="A131" s="3" t="s">
        <v>9</v>
      </c>
      <c r="B131" s="7">
        <f ca="1">TODAY()+1</f>
        <v>46093</v>
      </c>
      <c r="C131" s="3" t="s">
        <v>16</v>
      </c>
      <c r="D131" s="3" t="s">
        <v>19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">
      <c r="A132" s="3" t="s">
        <v>26</v>
      </c>
      <c r="B132" s="7">
        <f ca="1">TODAY()+2</f>
        <v>46094</v>
      </c>
      <c r="C132" s="3" t="s">
        <v>16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">
      <c r="A133" s="3" t="s">
        <v>26</v>
      </c>
      <c r="B133" s="7">
        <f ca="1">TODAY()+2</f>
        <v>46094</v>
      </c>
      <c r="C133" s="3" t="s">
        <v>16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">
      <c r="A134" s="3" t="s">
        <v>9</v>
      </c>
      <c r="B134" s="7">
        <f ca="1">TODAY()+2</f>
        <v>46094</v>
      </c>
      <c r="C134" s="3" t="s">
        <v>25</v>
      </c>
      <c r="D134" s="3" t="s">
        <v>28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">
      <c r="A135" s="3" t="s">
        <v>9</v>
      </c>
      <c r="B135" s="7">
        <f ca="1">TODAY()+2</f>
        <v>46094</v>
      </c>
      <c r="C135" s="3" t="s">
        <v>25</v>
      </c>
      <c r="D135" s="3" t="s">
        <v>28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">
      <c r="A136" s="3" t="s">
        <v>9</v>
      </c>
      <c r="B136" s="7">
        <f ca="1">TODAY()+5</f>
        <v>46097</v>
      </c>
      <c r="C136" s="3" t="s">
        <v>25</v>
      </c>
      <c r="D136" s="3" t="s">
        <v>28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">
      <c r="A137" s="3" t="s">
        <v>9</v>
      </c>
      <c r="B137" s="7">
        <f ca="1">TODAY()+5</f>
        <v>46097</v>
      </c>
      <c r="C137" s="3" t="s">
        <v>25</v>
      </c>
      <c r="D137" s="3" t="s">
        <v>28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">
      <c r="A138" s="3" t="s">
        <v>9</v>
      </c>
      <c r="B138" s="7">
        <f ca="1">TODAY()+7</f>
        <v>46099</v>
      </c>
      <c r="C138" s="3" t="s">
        <v>25</v>
      </c>
      <c r="D138" s="3" t="s">
        <v>28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">
      <c r="A139" s="3" t="s">
        <v>9</v>
      </c>
      <c r="B139" s="7">
        <f ca="1">TODAY()+7</f>
        <v>46099</v>
      </c>
      <c r="C139" s="3" t="s">
        <v>25</v>
      </c>
      <c r="D139" s="3" t="s">
        <v>28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">
      <c r="A140" s="3" t="s">
        <v>9</v>
      </c>
      <c r="B140" s="7">
        <f ca="1">TODAY()+8</f>
        <v>46100</v>
      </c>
      <c r="C140" s="3" t="s">
        <v>25</v>
      </c>
      <c r="D140" s="3" t="s">
        <v>28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">
      <c r="A141" s="3" t="s">
        <v>9</v>
      </c>
      <c r="B141" s="7">
        <f ca="1">TODAY()+8</f>
        <v>46100</v>
      </c>
      <c r="C141" s="3" t="s">
        <v>25</v>
      </c>
      <c r="D141" s="3" t="s">
        <v>28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">
      <c r="A142" s="3" t="s">
        <v>17</v>
      </c>
      <c r="B142" s="7">
        <f ca="1">TODAY()+14</f>
        <v>46106</v>
      </c>
      <c r="C142" s="3" t="s">
        <v>10</v>
      </c>
      <c r="D142" s="3" t="s">
        <v>28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">
      <c r="A143" s="3" t="s">
        <v>17</v>
      </c>
      <c r="B143" s="7">
        <f ca="1">TODAY()+14</f>
        <v>46106</v>
      </c>
      <c r="C143" s="3" t="s">
        <v>10</v>
      </c>
      <c r="D143" s="3" t="s">
        <v>28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f ca="1">TODAY()+17</f>
        <v>46109</v>
      </c>
      <c r="C144" s="3" t="s">
        <v>10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">
      <c r="A145" s="3" t="s">
        <v>26</v>
      </c>
      <c r="B145" s="7">
        <f ca="1">TODAY()+17</f>
        <v>46109</v>
      </c>
      <c r="C145" s="3" t="s">
        <v>10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">
      <c r="A146" s="3" t="s">
        <v>21</v>
      </c>
      <c r="B146" s="7">
        <f ca="1">TODAY()+32</f>
        <v>46124</v>
      </c>
      <c r="C146" s="3" t="s">
        <v>10</v>
      </c>
      <c r="D146" s="3" t="s">
        <v>28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">
      <c r="A147" s="3" t="s">
        <v>21</v>
      </c>
      <c r="B147" s="7">
        <f ca="1">TODAY()+32</f>
        <v>46124</v>
      </c>
      <c r="C147" s="3" t="s">
        <v>10</v>
      </c>
      <c r="D147" s="3" t="s">
        <v>28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">
      <c r="A148" s="3" t="s">
        <v>21</v>
      </c>
      <c r="B148" s="7">
        <f ca="1">TODAY()+39</f>
        <v>46131</v>
      </c>
      <c r="C148" s="3" t="s">
        <v>10</v>
      </c>
      <c r="D148" s="3" t="s">
        <v>28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">
      <c r="A149" s="3" t="s">
        <v>21</v>
      </c>
      <c r="B149" s="7">
        <f ca="1">TODAY()+39</f>
        <v>46131</v>
      </c>
      <c r="C149" s="3" t="s">
        <v>10</v>
      </c>
      <c r="D149" s="3" t="s">
        <v>28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">
      <c r="A150" s="3" t="s">
        <v>9</v>
      </c>
      <c r="B150" s="7">
        <f ca="1">TODAY()+40</f>
        <v>46132</v>
      </c>
      <c r="C150" s="3" t="s">
        <v>10</v>
      </c>
      <c r="D150" s="3" t="s">
        <v>28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">
      <c r="A151" s="3" t="s">
        <v>9</v>
      </c>
      <c r="B151" s="7">
        <f ca="1">TODAY()+40</f>
        <v>46132</v>
      </c>
      <c r="C151" s="20" t="s">
        <v>10</v>
      </c>
      <c r="D151" s="3" t="s">
        <v>28</v>
      </c>
      <c r="E151" s="5">
        <v>43.9</v>
      </c>
      <c r="F151" s="13">
        <v>490</v>
      </c>
      <c r="G151" s="21">
        <v>0</v>
      </c>
      <c r="H151" s="21">
        <v>30</v>
      </c>
      <c r="I151" s="21" t="s">
        <v>15</v>
      </c>
    </row>
  </sheetData>
  <sortState xmlns:xlrd2="http://schemas.microsoft.com/office/spreadsheetml/2017/richdata2" ref="A2:I151">
    <sortCondition descending="1" ref="C2:C15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95020D86-4205-40E9-878F-33EC5256E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ProductsA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2026-03-11T18:53:41Z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